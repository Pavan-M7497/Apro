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67AFA96F6D63F0/Documents/"/>
    </mc:Choice>
  </mc:AlternateContent>
  <xr:revisionPtr revIDLastSave="155" documentId="8_{4AD62EC7-9E19-4D15-A384-70962AB597B4}" xr6:coauthVersionLast="47" xr6:coauthVersionMax="47" xr10:uidLastSave="{EC7E05D5-5584-4263-A61F-0A91AA3A7B98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Expenses" sheetId="2" r:id="rId2"/>
    <sheet name="Savings" sheetId="3" r:id="rId3"/>
    <sheet name="Investments" sheetId="4" r:id="rId4"/>
    <sheet name="Monthly Summary" sheetId="5" r:id="rId5"/>
    <sheet name="Net Worth" sheetId="6" r:id="rId6"/>
    <sheet name="Goals" sheetId="7" r:id="rId7"/>
    <sheet name="SIP Calculator" sheetId="8" r:id="rId8"/>
    <sheet name="Emergency Fund" sheetId="9" r:id="rId9"/>
    <sheet name="Categories" sheetId="10" r:id="rId10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9" l="1"/>
  <c r="E3" i="9" s="1"/>
  <c r="B10" i="8"/>
  <c r="B12" i="8" s="1"/>
  <c r="B9" i="8"/>
  <c r="E7" i="7"/>
  <c r="E6" i="7"/>
  <c r="E5" i="7"/>
  <c r="E4" i="7"/>
  <c r="E3" i="7"/>
  <c r="B18" i="6"/>
  <c r="D8" i="5"/>
  <c r="F8" i="5" s="1"/>
  <c r="D7" i="5"/>
  <c r="F7" i="5" s="1"/>
  <c r="D6" i="5"/>
  <c r="F6" i="5" s="1"/>
  <c r="D5" i="5"/>
  <c r="F5" i="5" s="1"/>
  <c r="D4" i="5"/>
  <c r="F4" i="5" s="1"/>
  <c r="D3" i="5"/>
  <c r="F3" i="5" s="1"/>
  <c r="G7" i="4"/>
  <c r="H7" i="4" s="1"/>
  <c r="I7" i="4" s="1"/>
  <c r="G6" i="4"/>
  <c r="G5" i="4"/>
  <c r="G4" i="4"/>
  <c r="G3" i="4"/>
  <c r="F7" i="3"/>
  <c r="F6" i="3"/>
  <c r="F5" i="3"/>
  <c r="F4" i="3"/>
  <c r="F3" i="3"/>
  <c r="G19" i="2"/>
  <c r="G17" i="2"/>
  <c r="G16" i="2"/>
  <c r="G15" i="2"/>
  <c r="A5" i="1" s="1"/>
  <c r="N29" i="1"/>
  <c r="N28" i="1"/>
  <c r="N27" i="1"/>
  <c r="N26" i="1"/>
  <c r="N25" i="1"/>
  <c r="N24" i="1"/>
  <c r="N23" i="1"/>
  <c r="N22" i="1"/>
  <c r="N21" i="1"/>
  <c r="D17" i="1"/>
  <c r="D16" i="1"/>
  <c r="D15" i="1"/>
  <c r="K14" i="1"/>
  <c r="D14" i="1"/>
  <c r="K13" i="1"/>
  <c r="D13" i="1"/>
  <c r="D12" i="1"/>
  <c r="K11" i="1"/>
  <c r="D11" i="1"/>
  <c r="K10" i="1"/>
  <c r="D10" i="1"/>
  <c r="K9" i="1"/>
  <c r="D9" i="1"/>
  <c r="K5" i="1"/>
  <c r="G5" i="1"/>
  <c r="C5" i="1"/>
  <c r="H4" i="4" l="1"/>
  <c r="I4" i="4" s="1"/>
  <c r="H6" i="4"/>
  <c r="I6" i="4" s="1"/>
  <c r="H5" i="4"/>
  <c r="I5" i="4" s="1"/>
  <c r="H3" i="4"/>
  <c r="F8" i="4"/>
  <c r="I5" i="1"/>
  <c r="K12" i="1"/>
  <c r="I3" i="4"/>
  <c r="G8" i="4"/>
  <c r="B11" i="8"/>
  <c r="H8" i="4" l="1"/>
  <c r="I8" i="4" s="1"/>
  <c r="B9" i="6"/>
  <c r="B10" i="6" s="1"/>
  <c r="A21" i="6" s="1"/>
  <c r="E5" i="1"/>
  <c r="G18" i="2"/>
</calcChain>
</file>

<file path=xl/sharedStrings.xml><?xml version="1.0" encoding="utf-8"?>
<sst xmlns="http://schemas.openxmlformats.org/spreadsheetml/2006/main" count="171" uniqueCount="138">
  <si>
    <t>🏦   PERSONAL FINANCE MASTER SYSTEM   |   Dashboard</t>
  </si>
  <si>
    <t>Your Personal Financial Operating System</t>
  </si>
  <si>
    <t>💸 Total Expenses</t>
  </si>
  <si>
    <t>🏦 Total Savings</t>
  </si>
  <si>
    <t>📈 Investment Value</t>
  </si>
  <si>
    <t>💰 Net Worth</t>
  </si>
  <si>
    <t>📊 Savings Rate</t>
  </si>
  <si>
    <t>🗓️ Months Tracked</t>
  </si>
  <si>
    <t>📊  Category Breakdown — Current Month</t>
  </si>
  <si>
    <t>📅  Monthly Spending Trend</t>
  </si>
  <si>
    <t>Expense Categories</t>
  </si>
  <si>
    <t>Monthly Snapshot</t>
  </si>
  <si>
    <t>Food</t>
  </si>
  <si>
    <t>Latest Month Income</t>
  </si>
  <si>
    <t>Transport</t>
  </si>
  <si>
    <t>Latest Month Expenses</t>
  </si>
  <si>
    <t>Shopping</t>
  </si>
  <si>
    <t>Latest Month Savings</t>
  </si>
  <si>
    <t>Entertainment</t>
  </si>
  <si>
    <t>Latest Savings Rate</t>
  </si>
  <si>
    <t>Education</t>
  </si>
  <si>
    <t>Avg Monthly Expenses</t>
  </si>
  <si>
    <t>Health</t>
  </si>
  <si>
    <t>Total Invested</t>
  </si>
  <si>
    <t>Bills</t>
  </si>
  <si>
    <t>Subscriptions</t>
  </si>
  <si>
    <t>Miscellaneous</t>
  </si>
  <si>
    <t>💡  HOW TO USE:  Enter data in Expenses → Savings → Investments → Monthly Summary sheets.  This Dashboard updates automatically.</t>
  </si>
  <si>
    <t>💸  Expense Tracker</t>
  </si>
  <si>
    <t>Date</t>
  </si>
  <si>
    <t>Month</t>
  </si>
  <si>
    <t>Category</t>
  </si>
  <si>
    <t>Description</t>
  </si>
  <si>
    <t>Payment Method</t>
  </si>
  <si>
    <t>Need/Want</t>
  </si>
  <si>
    <t>Amount (₹)</t>
  </si>
  <si>
    <t>January</t>
  </si>
  <si>
    <t>UPI</t>
  </si>
  <si>
    <t>Need</t>
  </si>
  <si>
    <t>Want</t>
  </si>
  <si>
    <t>Bank Transfer</t>
  </si>
  <si>
    <t>Card</t>
  </si>
  <si>
    <t>February</t>
  </si>
  <si>
    <t>Cash</t>
  </si>
  <si>
    <t>📊  Expense Summary</t>
  </si>
  <si>
    <t>Total Spending</t>
  </si>
  <si>
    <t>Total Needs</t>
  </si>
  <si>
    <t>Total Wants</t>
  </si>
  <si>
    <t>Highest Expense</t>
  </si>
  <si>
    <t>No. of Transactions</t>
  </si>
  <si>
    <t>🏦  Savings Tracker</t>
  </si>
  <si>
    <t>Savings Goal</t>
  </si>
  <si>
    <t>Target Amount (₹)</t>
  </si>
  <si>
    <t>Current Saved (₹)</t>
  </si>
  <si>
    <t>Remaining (₹)</t>
  </si>
  <si>
    <t>Deadline</t>
  </si>
  <si>
    <t>Progress %</t>
  </si>
  <si>
    <t>Emergency Fund</t>
  </si>
  <si>
    <t>Dec-2026</t>
  </si>
  <si>
    <t>Laptop</t>
  </si>
  <si>
    <t>Vacation</t>
  </si>
  <si>
    <t>Investment Capital</t>
  </si>
  <si>
    <t>Car Down Payment</t>
  </si>
  <si>
    <t>📈  Investment Portfolio</t>
  </si>
  <si>
    <t>Asset</t>
  </si>
  <si>
    <t>Type</t>
  </si>
  <si>
    <t>Qty</t>
  </si>
  <si>
    <t>Buy Price (₹)</t>
  </si>
  <si>
    <t>Current Price (₹)</t>
  </si>
  <si>
    <t>Invested Value (₹)</t>
  </si>
  <si>
    <t>Current Value (₹)</t>
  </si>
  <si>
    <t>Profit/Loss (₹)</t>
  </si>
  <si>
    <t>ROI %</t>
  </si>
  <si>
    <t>TOTAL</t>
  </si>
  <si>
    <t>📅  Monthly Financial Summary</t>
  </si>
  <si>
    <t>Income (₹)</t>
  </si>
  <si>
    <t>Expenses (₹)</t>
  </si>
  <si>
    <t>Savings (₹)</t>
  </si>
  <si>
    <t>Investments (₹)</t>
  </si>
  <si>
    <t>Savings Rate</t>
  </si>
  <si>
    <t>March</t>
  </si>
  <si>
    <t>April</t>
  </si>
  <si>
    <t>May</t>
  </si>
  <si>
    <t>June</t>
  </si>
  <si>
    <t>💰  Net Worth Tracker</t>
  </si>
  <si>
    <t>ASSETS</t>
  </si>
  <si>
    <t>Value (₹)</t>
  </si>
  <si>
    <t>Cash &amp; Bank Balance</t>
  </si>
  <si>
    <t>Savings Accounts</t>
  </si>
  <si>
    <t>Investments</t>
  </si>
  <si>
    <t>Gold / Jewellery</t>
  </si>
  <si>
    <t>Other Assets</t>
  </si>
  <si>
    <t>Investment Portfolio Value</t>
  </si>
  <si>
    <t>TOTAL ASSETS</t>
  </si>
  <si>
    <t>LIABILITIES</t>
  </si>
  <si>
    <t>Personal Loans</t>
  </si>
  <si>
    <t>Home Loan</t>
  </si>
  <si>
    <t>Car Loan</t>
  </si>
  <si>
    <t>Credit Card Outstanding</t>
  </si>
  <si>
    <t>Other Liabilities</t>
  </si>
  <si>
    <t>TOTAL LIABILITIES</t>
  </si>
  <si>
    <t>NET WORTH  =  Assets − Liabilities</t>
  </si>
  <si>
    <t>🎯  Financial Goals</t>
  </si>
  <si>
    <t>Goal</t>
  </si>
  <si>
    <t>Saved So Far (₹)</t>
  </si>
  <si>
    <t>Monthly Required (₹)</t>
  </si>
  <si>
    <t>Jun-2027</t>
  </si>
  <si>
    <t>Jan-2027</t>
  </si>
  <si>
    <t>Vacation Fund</t>
  </si>
  <si>
    <t>Mar-2026</t>
  </si>
  <si>
    <t>Dec-2028</t>
  </si>
  <si>
    <t>📊  SIP &amp; Compound Growth Calculator</t>
  </si>
  <si>
    <t>INPUTS</t>
  </si>
  <si>
    <t>Value</t>
  </si>
  <si>
    <t>Monthly SIP Amount (₹)</t>
  </si>
  <si>
    <t>Expected Annual Return (%)</t>
  </si>
  <si>
    <t>Investment Duration (Years)</t>
  </si>
  <si>
    <t>RESULTS</t>
  </si>
  <si>
    <t>Calculated Value</t>
  </si>
  <si>
    <t>Total Amount Invested (₹)</t>
  </si>
  <si>
    <t>Future Value (₹)</t>
  </si>
  <si>
    <t>Total Returns / Wealth Gain (₹)</t>
  </si>
  <si>
    <t>Return Multiple</t>
  </si>
  <si>
    <t>🛡️  Emergency Fund Planner</t>
  </si>
  <si>
    <t>Monthly Expenses (₹)</t>
  </si>
  <si>
    <t>Target Months</t>
  </si>
  <si>
    <t>Required Fund (₹)</t>
  </si>
  <si>
    <t>Currently Saved (₹)</t>
  </si>
  <si>
    <t>💡  Why You Need an Emergency Fund</t>
  </si>
  <si>
    <t>✅  Covers 3–6 months of living expenses</t>
  </si>
  <si>
    <t>✅  Protects investments — no panic selling needed</t>
  </si>
  <si>
    <t>✅  Provides financial safety net for job loss or medical emergencies</t>
  </si>
  <si>
    <t>✅  Keep in a liquid instrument: savings account or liquid mutual fund</t>
  </si>
  <si>
    <t>✅  Do NOT invest your emergency fund in stocks</t>
  </si>
  <si>
    <t>Master Category Lists</t>
  </si>
  <si>
    <t>Payment Methods</t>
  </si>
  <si>
    <t>Need / Want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</si>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</sst>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\₹#,##0"/>
    <numFmt numFmtId="167" formatCode="0.00\x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2"/>
      <color rgb="FFBDD7EE"/>
      <name val="Arial"/>
      <family val="2"/>
    </font>
    <font>
      <b/>
      <sz val="10"/>
      <color rgb="FFFFFFFF"/>
      <name val="Arial"/>
      <family val="2"/>
    </font>
    <font>
      <b/>
      <sz val="18"/>
      <color rgb="FF1B2A47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B2A47"/>
      <name val="Arial"/>
      <family val="2"/>
    </font>
    <font>
      <sz val="10"/>
      <color rgb="FF9C6500"/>
      <name val="Arial"/>
      <family val="2"/>
    </font>
    <font>
      <b/>
      <sz val="16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B2A47"/>
      <name val="Arial"/>
      <family val="2"/>
    </font>
    <font>
      <b/>
      <sz val="20"/>
      <color rgb="FF1B2A47"/>
      <name val="Arial"/>
      <family val="2"/>
    </font>
    <font>
      <b/>
      <sz val="11"/>
      <color rgb="FF00008B"/>
      <name val="Arial"/>
      <family val="2"/>
    </font>
    <font>
      <b/>
      <sz val="12"/>
      <color rgb="FF375623"/>
      <name val="Arial"/>
      <family val="2"/>
    </font>
    <font>
      <b/>
      <sz val="13"/>
      <color rgb="FF1B2A47"/>
      <name val="Arial"/>
      <family val="2"/>
    </font>
    <font>
      <b/>
      <sz val="14"/>
      <color rgb="FFFFFFFF"/>
      <name val="Arial"/>
      <family val="2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7"/>
        <bgColor rgb="FF003366"/>
      </patternFill>
    </fill>
    <fill>
      <patternFill patternType="solid">
        <fgColor rgb="FF2E4172"/>
        <bgColor rgb="FF1B2A47"/>
      </patternFill>
    </fill>
    <fill>
      <patternFill patternType="solid">
        <fgColor rgb="FFEBF3FB"/>
        <bgColor rgb="FFF9F9F9"/>
      </patternFill>
    </fill>
    <fill>
      <patternFill patternType="solid">
        <fgColor rgb="FF4472C4"/>
        <bgColor rgb="FF4672A8"/>
      </patternFill>
    </fill>
    <fill>
      <patternFill patternType="solid">
        <fgColor rgb="FFFFFFFF"/>
        <bgColor rgb="FFF9F9F9"/>
      </patternFill>
    </fill>
    <fill>
      <patternFill patternType="solid">
        <fgColor rgb="FFFFEB9C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E2EFDA"/>
        <bgColor rgb="FFEBF3FB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4" borderId="1" xfId="0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0" fillId="6" borderId="1" xfId="0" applyFill="1" applyBorder="1" applyAlignment="1">
      <alignment horizontal="left" vertical="center"/>
    </xf>
    <xf numFmtId="3" fontId="7" fillId="6" borderId="1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6" fillId="5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0" fillId="4" borderId="2" xfId="0" applyFill="1" applyBorder="1"/>
    <xf numFmtId="0" fontId="6" fillId="3" borderId="2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" fontId="7" fillId="0" borderId="2" xfId="0" applyNumberFormat="1" applyFont="1" applyBorder="1" applyAlignment="1">
      <alignment horizontal="center" vertical="center"/>
    </xf>
    <xf numFmtId="4" fontId="11" fillId="4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3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/>
    <xf numFmtId="3" fontId="6" fillId="5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/>
    <xf numFmtId="3" fontId="6" fillId="8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3" fontId="13" fillId="7" borderId="2" xfId="0" applyNumberFormat="1" applyFont="1" applyFill="1" applyBorder="1" applyAlignment="1">
      <alignment horizontal="center" vertical="center"/>
    </xf>
    <xf numFmtId="3" fontId="15" fillId="4" borderId="2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164" fontId="13" fillId="7" borderId="2" xfId="0" applyNumberFormat="1" applyFont="1" applyFill="1" applyBorder="1" applyAlignment="1">
      <alignment horizontal="center" vertical="center"/>
    </xf>
    <xf numFmtId="3" fontId="14" fillId="9" borderId="2" xfId="0" applyNumberFormat="1" applyFont="1" applyFill="1" applyBorder="1" applyAlignment="1">
      <alignment horizontal="center" vertical="center"/>
    </xf>
    <xf numFmtId="167" fontId="14" fillId="9" borderId="2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B"/>
      <rgbColor rgb="FF9C6500"/>
      <rgbColor rgb="FF800080"/>
      <rgbColor rgb="FF4A7EBB"/>
      <rgbColor rgb="FFB8CD97"/>
      <rgbColor rgb="FF878787"/>
      <rgbColor rgb="FF93A9CE"/>
      <rgbColor rgb="FFAB4744"/>
      <rgbColor rgb="FFF9F9F9"/>
      <rgbColor rgb="FFEBF3FB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9D9D9"/>
      <rgbColor rgb="FFE2EFDA"/>
      <rgbColor rgb="FFFFEB9C"/>
      <rgbColor rgb="FF99CCFF"/>
      <rgbColor rgb="FFD09493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75623"/>
      <rgbColor rgb="FF993300"/>
      <rgbColor rgb="FFBE4B48"/>
      <rgbColor rgb="FF2E4172"/>
      <rgbColor rgb="FF1B2A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Expense Breakdown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FED-4021-AEDF-D77A60145DD1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FED-4021-AEDF-D77A60145DD1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FED-4021-AEDF-D77A60145DD1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FED-4021-AEDF-D77A60145DD1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FED-4021-AEDF-D77A60145DD1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FED-4021-AEDF-D77A60145DD1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6FED-4021-AEDF-D77A60145DD1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6FED-4021-AEDF-D77A60145DD1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6FED-4021-AEDF-D77A60145DD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FED-4021-AEDF-D77A60145DD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FED-4021-AEDF-D77A60145DD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FED-4021-AEDF-D77A60145DD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FED-4021-AEDF-D77A60145DD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FED-4021-AEDF-D77A60145DD1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FED-4021-AEDF-D77A60145DD1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FED-4021-AEDF-D77A60145DD1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6FED-4021-AEDF-D77A60145DD1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6FED-4021-AEDF-D77A60145D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Dashboard!$M$21:$M$29</c:f>
              <c:strCache>
                <c:ptCount val="9"/>
                <c:pt idx="0">
                  <c:v>Food</c:v>
                </c:pt>
                <c:pt idx="1">
                  <c:v>Transport</c:v>
                </c:pt>
                <c:pt idx="2">
                  <c:v>Shopping</c:v>
                </c:pt>
                <c:pt idx="3">
                  <c:v>Entertainment</c:v>
                </c:pt>
                <c:pt idx="4">
                  <c:v>Education</c:v>
                </c:pt>
                <c:pt idx="5">
                  <c:v>Health</c:v>
                </c:pt>
                <c:pt idx="6">
                  <c:v>Bills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Dashboard!$N$21:$N$29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FED-4021-AEDF-D77A60145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Spending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Summary'!$C$2</c:f>
              <c:strCache>
                <c:ptCount val="1"/>
                <c:pt idx="0">
                  <c:v>Expenses (₹)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Summary'!$C$3:$C$8</c:f>
              <c:numCache>
                <c:formatCode>#,##0</c:formatCode>
                <c:ptCount val="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C8-45E3-AD46-23A68E77B340}"/>
            </c:ext>
          </c:extLst>
        </c:ser>
        <c:ser>
          <c:idx val="1"/>
          <c:order val="1"/>
          <c:tx>
            <c:strRef>
              <c:f>'Monthly Summary'!$D$2</c:f>
              <c:strCache>
                <c:ptCount val="1"/>
                <c:pt idx="0">
                  <c:v>Savings (₹)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Summary'!$D$3:$D$8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C8-45E3-AD46-23A68E77B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564346"/>
        <c:axId val="88909195"/>
      </c:lineChart>
      <c:catAx>
        <c:axId val="49564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09195"/>
        <c:crosses val="autoZero"/>
        <c:auto val="1"/>
        <c:lblAlgn val="ctr"/>
        <c:lblOffset val="100"/>
        <c:noMultiLvlLbl val="0"/>
      </c:catAx>
      <c:valAx>
        <c:axId val="88909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564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4</xdr:col>
      <xdr:colOff>528120</xdr:colOff>
      <xdr:row>46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14</xdr:col>
      <xdr:colOff>181440</xdr:colOff>
      <xdr:row>46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showGridLines="0" topLeftCell="A28" zoomScaleNormal="100" workbookViewId="0">
      <selection activeCell="A8" sqref="A8"/>
    </sheetView>
  </sheetViews>
  <sheetFormatPr defaultColWidth="8.6640625" defaultRowHeight="14.4" x14ac:dyDescent="0.3"/>
  <cols>
    <col min="1" max="6" width="16" customWidth="1"/>
    <col min="7" max="7" width="4" customWidth="1"/>
    <col min="8" max="8" width="18" customWidth="1"/>
    <col min="9" max="11" width="14" customWidth="1"/>
    <col min="12" max="12" width="12" customWidth="1"/>
  </cols>
  <sheetData>
    <row r="1" spans="1:12" ht="48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4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1.5" customHeight="1" x14ac:dyDescent="0.3">
      <c r="A4" s="12" t="s">
        <v>2</v>
      </c>
      <c r="B4" s="12"/>
      <c r="C4" s="12" t="s">
        <v>3</v>
      </c>
      <c r="D4" s="12"/>
      <c r="E4" s="12" t="s">
        <v>4</v>
      </c>
      <c r="F4" s="12"/>
      <c r="G4" s="12" t="s">
        <v>5</v>
      </c>
      <c r="H4" s="12"/>
      <c r="I4" s="12" t="s">
        <v>6</v>
      </c>
      <c r="J4" s="12"/>
      <c r="K4" s="12" t="s">
        <v>7</v>
      </c>
      <c r="L4" s="12"/>
    </row>
    <row r="5" spans="1:12" ht="51.75" customHeight="1" x14ac:dyDescent="0.3">
      <c r="A5" s="11">
        <f>IFERROR(Expenses!G15,0)</f>
        <v>0</v>
      </c>
      <c r="B5" s="11"/>
      <c r="C5" s="11">
        <f>IFERROR(SUM(Savings!C3:C1000),0)</f>
        <v>0</v>
      </c>
      <c r="D5" s="11"/>
      <c r="E5" s="11">
        <f>IFERROR(Investments!G8,0)</f>
        <v>0</v>
      </c>
      <c r="F5" s="11"/>
      <c r="G5" s="11">
        <f>IFERROR('Net Worth'!A22,0)</f>
        <v>0</v>
      </c>
      <c r="H5" s="11"/>
      <c r="I5" s="10">
        <f>IFERROR('Monthly Summary'!F8,0)</f>
        <v>0</v>
      </c>
      <c r="J5" s="10"/>
      <c r="K5" s="9">
        <f>COUNTA('Monthly Summary'!A3:A1000)</f>
        <v>6</v>
      </c>
      <c r="L5" s="9"/>
    </row>
    <row r="7" spans="1:12" ht="27.75" customHeight="1" x14ac:dyDescent="0.3">
      <c r="A7" s="8" t="s">
        <v>8</v>
      </c>
      <c r="B7" s="8"/>
      <c r="C7" s="8"/>
      <c r="D7" s="8"/>
      <c r="E7" s="8"/>
      <c r="F7" s="8"/>
      <c r="H7" s="8" t="s">
        <v>9</v>
      </c>
      <c r="I7" s="8"/>
      <c r="J7" s="8"/>
      <c r="K7" s="8"/>
      <c r="L7" s="8"/>
    </row>
    <row r="8" spans="1:12" ht="15" customHeight="1" x14ac:dyDescent="0.3">
      <c r="A8" s="15" t="s">
        <v>10</v>
      </c>
      <c r="H8" s="7" t="s">
        <v>11</v>
      </c>
      <c r="I8" s="7"/>
      <c r="J8" s="7"/>
      <c r="K8" s="7"/>
      <c r="L8" s="7"/>
    </row>
    <row r="9" spans="1:12" ht="15" customHeight="1" x14ac:dyDescent="0.3">
      <c r="A9" s="6" t="s">
        <v>12</v>
      </c>
      <c r="B9" s="6"/>
      <c r="C9" s="6"/>
      <c r="D9" s="5">
        <f>IFERROR(SUMIF(Expenses!C:C,"Food",Expenses!G:G),0)</f>
        <v>0</v>
      </c>
      <c r="E9" s="5"/>
      <c r="F9" s="5"/>
      <c r="H9" s="4" t="s">
        <v>13</v>
      </c>
      <c r="I9" s="4"/>
      <c r="J9" s="4"/>
      <c r="K9" s="5">
        <f>IFERROR('Monthly Summary'!B8,0)</f>
        <v>0</v>
      </c>
      <c r="L9" s="5"/>
    </row>
    <row r="10" spans="1:12" ht="15" customHeight="1" x14ac:dyDescent="0.3">
      <c r="A10" s="3" t="s">
        <v>14</v>
      </c>
      <c r="B10" s="3"/>
      <c r="C10" s="3"/>
      <c r="D10" s="2">
        <f>IFERROR(SUMIF(Expenses!C:C,"Transport",Expenses!G:G),0)</f>
        <v>0</v>
      </c>
      <c r="E10" s="2"/>
      <c r="F10" s="2"/>
      <c r="H10" s="1" t="s">
        <v>15</v>
      </c>
      <c r="I10" s="1"/>
      <c r="J10" s="1"/>
      <c r="K10" s="2">
        <f>IFERROR('Monthly Summary'!C8,0)</f>
        <v>0</v>
      </c>
      <c r="L10" s="2"/>
    </row>
    <row r="11" spans="1:12" ht="15" customHeight="1" x14ac:dyDescent="0.3">
      <c r="A11" s="6" t="s">
        <v>16</v>
      </c>
      <c r="B11" s="6"/>
      <c r="C11" s="6"/>
      <c r="D11" s="5">
        <f>IFERROR(SUMIF(Expenses!C:C,"Shopping",Expenses!G:G),0)</f>
        <v>0</v>
      </c>
      <c r="E11" s="5"/>
      <c r="F11" s="5"/>
      <c r="H11" s="4" t="s">
        <v>17</v>
      </c>
      <c r="I11" s="4"/>
      <c r="J11" s="4"/>
      <c r="K11" s="5">
        <f>IFERROR('Monthly Summary'!D8,0)</f>
        <v>0</v>
      </c>
      <c r="L11" s="5"/>
    </row>
    <row r="12" spans="1:12" ht="15" customHeight="1" x14ac:dyDescent="0.3">
      <c r="A12" s="3" t="s">
        <v>18</v>
      </c>
      <c r="B12" s="3"/>
      <c r="C12" s="3"/>
      <c r="D12" s="2">
        <f>IFERROR(SUMIF(Expenses!C:C,"Entertainment",Expenses!G:G),0)</f>
        <v>0</v>
      </c>
      <c r="E12" s="2"/>
      <c r="F12" s="2"/>
      <c r="H12" s="1" t="s">
        <v>19</v>
      </c>
      <c r="I12" s="1"/>
      <c r="J12" s="1"/>
      <c r="K12" s="44">
        <f>IFERROR('Monthly Summary'!F8,0)</f>
        <v>0</v>
      </c>
      <c r="L12" s="44"/>
    </row>
    <row r="13" spans="1:12" ht="15" customHeight="1" x14ac:dyDescent="0.3">
      <c r="A13" s="6" t="s">
        <v>20</v>
      </c>
      <c r="B13" s="6"/>
      <c r="C13" s="6"/>
      <c r="D13" s="5">
        <f>IFERROR(SUMIF(Expenses!C:C,"Education",Expenses!G:G),0)</f>
        <v>0</v>
      </c>
      <c r="E13" s="5"/>
      <c r="F13" s="5"/>
      <c r="H13" s="4" t="s">
        <v>21</v>
      </c>
      <c r="I13" s="4"/>
      <c r="J13" s="4"/>
      <c r="K13" s="5">
        <f>IFERROR(AVERAGE('Monthly Summary'!C3:C100),0)</f>
        <v>0</v>
      </c>
      <c r="L13" s="5"/>
    </row>
    <row r="14" spans="1:12" ht="15" customHeight="1" x14ac:dyDescent="0.3">
      <c r="A14" s="3" t="s">
        <v>22</v>
      </c>
      <c r="B14" s="3"/>
      <c r="C14" s="3"/>
      <c r="D14" s="2">
        <f>IFERROR(SUMIF(Expenses!C:C,"Health",Expenses!G:G),0)</f>
        <v>0</v>
      </c>
      <c r="E14" s="2"/>
      <c r="F14" s="2"/>
      <c r="H14" s="1" t="s">
        <v>23</v>
      </c>
      <c r="I14" s="1"/>
      <c r="J14" s="1"/>
      <c r="K14" s="2">
        <f>IFERROR(SUM('Monthly Summary'!E3:E100),0)</f>
        <v>0</v>
      </c>
      <c r="L14" s="2"/>
    </row>
    <row r="15" spans="1:12" ht="15" customHeight="1" x14ac:dyDescent="0.3">
      <c r="A15" s="6" t="s">
        <v>24</v>
      </c>
      <c r="B15" s="6"/>
      <c r="C15" s="6"/>
      <c r="D15" s="5">
        <f>IFERROR(SUMIF(Expenses!C:C,"Bills",Expenses!G:G),0)</f>
        <v>0</v>
      </c>
      <c r="E15" s="5"/>
      <c r="F15" s="5"/>
    </row>
    <row r="16" spans="1:12" ht="15" customHeight="1" x14ac:dyDescent="0.3">
      <c r="A16" s="3" t="s">
        <v>25</v>
      </c>
      <c r="B16" s="3"/>
      <c r="C16" s="3"/>
      <c r="D16" s="2">
        <f>IFERROR(SUMIF(Expenses!C:C,"Subscriptions",Expenses!G:G),0)</f>
        <v>0</v>
      </c>
      <c r="E16" s="2"/>
      <c r="F16" s="2"/>
    </row>
    <row r="17" spans="1:14" ht="15" customHeight="1" x14ac:dyDescent="0.3">
      <c r="A17" s="6" t="s">
        <v>26</v>
      </c>
      <c r="B17" s="6"/>
      <c r="C17" s="6"/>
      <c r="D17" s="5">
        <f>IFERROR(SUMIF(Expenses!C:C,"Miscellaneous",Expenses!G:G),0)</f>
        <v>0</v>
      </c>
      <c r="E17" s="5"/>
      <c r="F17" s="5"/>
    </row>
    <row r="19" spans="1:14" ht="24" customHeight="1" x14ac:dyDescent="0.3">
      <c r="A19" s="45" t="s">
        <v>27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1" spans="1:14" ht="15" customHeight="1" x14ac:dyDescent="0.3">
      <c r="M21" t="s">
        <v>12</v>
      </c>
      <c r="N21">
        <f>IFERROR(SUMIF(Expenses!C:C,M21,Expenses!G:G),0)</f>
        <v>0</v>
      </c>
    </row>
    <row r="22" spans="1:14" ht="15" customHeight="1" x14ac:dyDescent="0.3">
      <c r="M22" t="s">
        <v>14</v>
      </c>
      <c r="N22">
        <f>IFERROR(SUMIF(Expenses!C:C,M22,Expenses!G:G),0)</f>
        <v>0</v>
      </c>
    </row>
    <row r="23" spans="1:14" ht="15" customHeight="1" x14ac:dyDescent="0.3">
      <c r="M23" t="s">
        <v>16</v>
      </c>
      <c r="N23">
        <f>IFERROR(SUMIF(Expenses!C:C,M23,Expenses!G:G),0)</f>
        <v>0</v>
      </c>
    </row>
    <row r="24" spans="1:14" ht="15" customHeight="1" x14ac:dyDescent="0.3">
      <c r="M24" t="s">
        <v>18</v>
      </c>
      <c r="N24">
        <f>IFERROR(SUMIF(Expenses!C:C,M24,Expenses!G:G),0)</f>
        <v>0</v>
      </c>
    </row>
    <row r="25" spans="1:14" ht="15" customHeight="1" x14ac:dyDescent="0.3">
      <c r="M25" t="s">
        <v>20</v>
      </c>
      <c r="N25">
        <f>IFERROR(SUMIF(Expenses!C:C,M25,Expenses!G:G),0)</f>
        <v>0</v>
      </c>
    </row>
    <row r="26" spans="1:14" ht="15" customHeight="1" x14ac:dyDescent="0.3">
      <c r="M26" t="s">
        <v>22</v>
      </c>
      <c r="N26">
        <f>IFERROR(SUMIF(Expenses!C:C,M26,Expenses!G:G),0)</f>
        <v>0</v>
      </c>
    </row>
    <row r="27" spans="1:14" ht="15" customHeight="1" x14ac:dyDescent="0.3">
      <c r="M27" t="s">
        <v>24</v>
      </c>
      <c r="N27">
        <f>IFERROR(SUMIF(Expenses!C:C,M27,Expenses!G:G),0)</f>
        <v>0</v>
      </c>
    </row>
    <row r="28" spans="1:14" ht="15" customHeight="1" x14ac:dyDescent="0.3">
      <c r="M28" t="s">
        <v>25</v>
      </c>
      <c r="N28">
        <f>IFERROR(SUMIF(Expenses!C:C,M28,Expenses!G:G),0)</f>
        <v>0</v>
      </c>
    </row>
    <row r="29" spans="1:14" ht="15" customHeight="1" x14ac:dyDescent="0.3">
      <c r="M29" t="s">
        <v>26</v>
      </c>
      <c r="N29">
        <f>IFERROR(SUMIF(Expenses!C:C,M29,Expenses!G:G),0)</f>
        <v>0</v>
      </c>
    </row>
  </sheetData>
  <mergeCells count="48">
    <mergeCell ref="A16:C16"/>
    <mergeCell ref="D16:F16"/>
    <mergeCell ref="A17:C17"/>
    <mergeCell ref="D17:F17"/>
    <mergeCell ref="A19:L19"/>
    <mergeCell ref="A14:C14"/>
    <mergeCell ref="D14:F14"/>
    <mergeCell ref="H14:J14"/>
    <mergeCell ref="K14:L14"/>
    <mergeCell ref="A15:C15"/>
    <mergeCell ref="D15:F15"/>
    <mergeCell ref="A12:C12"/>
    <mergeCell ref="D12:F12"/>
    <mergeCell ref="H12:J12"/>
    <mergeCell ref="K12:L12"/>
    <mergeCell ref="A13:C13"/>
    <mergeCell ref="D13:F13"/>
    <mergeCell ref="H13:J13"/>
    <mergeCell ref="K13:L13"/>
    <mergeCell ref="A10:C10"/>
    <mergeCell ref="D10:F10"/>
    <mergeCell ref="H10:J10"/>
    <mergeCell ref="K10:L10"/>
    <mergeCell ref="A11:C11"/>
    <mergeCell ref="D11:F11"/>
    <mergeCell ref="H11:J11"/>
    <mergeCell ref="K11:L11"/>
    <mergeCell ref="K5:L5"/>
    <mergeCell ref="A7:F7"/>
    <mergeCell ref="H7:L7"/>
    <mergeCell ref="H8:L8"/>
    <mergeCell ref="A9:C9"/>
    <mergeCell ref="D9:F9"/>
    <mergeCell ref="H9:J9"/>
    <mergeCell ref="K9:L9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tabSelected="1" zoomScaleNormal="100" workbookViewId="0">
      <pane ySplit="2" topLeftCell="A3" activePane="bottomLeft" state="frozen"/>
      <selection pane="bottomLeft" activeCell="I18" sqref="I18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28" customWidth="1"/>
    <col min="5" max="5" width="18" customWidth="1"/>
    <col min="6" max="6" width="12" customWidth="1"/>
    <col min="7" max="7" width="14" customWidth="1"/>
  </cols>
  <sheetData>
    <row r="1" spans="1:7" ht="36" customHeight="1" x14ac:dyDescent="0.3">
      <c r="A1" s="46" t="s">
        <v>28</v>
      </c>
      <c r="B1" s="46"/>
      <c r="C1" s="46"/>
      <c r="D1" s="46"/>
      <c r="E1" s="46"/>
      <c r="F1" s="46"/>
      <c r="G1" s="46"/>
    </row>
    <row r="2" spans="1:7" ht="15" customHeight="1" x14ac:dyDescent="0.3">
      <c r="A2" s="18" t="s">
        <v>29</v>
      </c>
      <c r="B2" s="18" t="s">
        <v>30</v>
      </c>
      <c r="C2" s="18" t="s">
        <v>31</v>
      </c>
      <c r="D2" s="18" t="s">
        <v>32</v>
      </c>
      <c r="E2" s="18" t="s">
        <v>33</v>
      </c>
      <c r="F2" s="18" t="s">
        <v>34</v>
      </c>
      <c r="G2" s="18" t="s">
        <v>35</v>
      </c>
    </row>
    <row r="3" spans="1:7" ht="15" customHeight="1" x14ac:dyDescent="0.3">
      <c r="A3" s="19"/>
      <c r="B3" s="19"/>
      <c r="C3" s="19"/>
      <c r="D3" s="19"/>
      <c r="E3" s="19"/>
      <c r="F3" s="19"/>
      <c r="G3" s="19"/>
    </row>
    <row r="4" spans="1:7" ht="15" customHeight="1" x14ac:dyDescent="0.3">
      <c r="A4" s="19"/>
      <c r="B4" s="20"/>
      <c r="C4" s="20"/>
      <c r="D4" s="21"/>
      <c r="E4" s="20"/>
      <c r="F4" s="20"/>
      <c r="G4" s="22"/>
    </row>
    <row r="5" spans="1:7" ht="15" customHeight="1" x14ac:dyDescent="0.3">
      <c r="A5" s="19"/>
      <c r="B5" s="20"/>
      <c r="C5" s="20"/>
      <c r="D5" s="21"/>
      <c r="E5" s="20"/>
      <c r="F5" s="20"/>
      <c r="G5" s="22"/>
    </row>
    <row r="6" spans="1:7" ht="15" customHeight="1" x14ac:dyDescent="0.3">
      <c r="A6" s="19"/>
      <c r="B6" s="20"/>
      <c r="C6" s="20"/>
      <c r="D6" s="21"/>
      <c r="E6" s="20"/>
      <c r="F6" s="20"/>
      <c r="G6" s="22"/>
    </row>
    <row r="7" spans="1:7" ht="15" customHeight="1" x14ac:dyDescent="0.3">
      <c r="A7" s="19"/>
      <c r="B7" s="20"/>
      <c r="C7" s="20"/>
      <c r="D7" s="21"/>
      <c r="E7" s="20"/>
      <c r="F7" s="20"/>
      <c r="G7" s="22"/>
    </row>
    <row r="8" spans="1:7" ht="15" customHeight="1" x14ac:dyDescent="0.3">
      <c r="A8" s="19"/>
      <c r="B8" s="20"/>
      <c r="C8" s="20"/>
      <c r="D8" s="21"/>
      <c r="E8" s="20"/>
      <c r="F8" s="20"/>
      <c r="G8" s="22"/>
    </row>
    <row r="9" spans="1:7" ht="15" customHeight="1" x14ac:dyDescent="0.3">
      <c r="A9" s="19"/>
      <c r="B9" s="20"/>
      <c r="C9" s="20"/>
      <c r="D9" s="21"/>
      <c r="E9" s="20"/>
      <c r="F9" s="20"/>
      <c r="G9" s="22"/>
    </row>
    <row r="10" spans="1:7" ht="15" customHeight="1" x14ac:dyDescent="0.3">
      <c r="A10" s="19"/>
      <c r="B10" s="20"/>
      <c r="C10" s="20"/>
      <c r="D10" s="21"/>
      <c r="E10" s="20"/>
      <c r="F10" s="20"/>
      <c r="G10" s="22"/>
    </row>
    <row r="11" spans="1:7" ht="15" customHeight="1" x14ac:dyDescent="0.3">
      <c r="A11" s="19"/>
      <c r="B11" s="20"/>
      <c r="C11" s="20"/>
      <c r="D11" s="21"/>
      <c r="E11" s="20"/>
      <c r="F11" s="20"/>
      <c r="G11" s="22"/>
    </row>
    <row r="12" spans="1:7" ht="15" customHeight="1" x14ac:dyDescent="0.3">
      <c r="A12" s="19"/>
      <c r="B12" s="20"/>
      <c r="C12" s="20"/>
      <c r="D12" s="21"/>
      <c r="E12" s="20"/>
      <c r="F12" s="20"/>
      <c r="G12" s="22"/>
    </row>
    <row r="14" spans="1:7" ht="27.75" customHeight="1" x14ac:dyDescent="0.3">
      <c r="A14" s="47" t="s">
        <v>44</v>
      </c>
      <c r="B14" s="47"/>
      <c r="C14" s="47"/>
      <c r="D14" s="47"/>
      <c r="E14" s="47"/>
      <c r="F14" s="47"/>
      <c r="G14" s="47"/>
    </row>
    <row r="15" spans="1:7" ht="15" customHeight="1" x14ac:dyDescent="0.3">
      <c r="A15" s="48" t="s">
        <v>45</v>
      </c>
      <c r="B15" s="48"/>
      <c r="C15" s="48"/>
      <c r="D15" s="48"/>
      <c r="E15" s="48"/>
      <c r="F15" s="48"/>
      <c r="G15" s="23">
        <f>SUM(G3:G13)</f>
        <v>0</v>
      </c>
    </row>
    <row r="16" spans="1:7" ht="15" customHeight="1" x14ac:dyDescent="0.3">
      <c r="A16" s="48" t="s">
        <v>46</v>
      </c>
      <c r="B16" s="48"/>
      <c r="C16" s="48"/>
      <c r="D16" s="48"/>
      <c r="E16" s="48"/>
      <c r="F16" s="48"/>
      <c r="G16" s="23">
        <f>SUMIF(F3:F1000,"Need",G3:G1000)</f>
        <v>0</v>
      </c>
    </row>
    <row r="17" spans="1:7" ht="15" customHeight="1" x14ac:dyDescent="0.3">
      <c r="A17" s="48" t="s">
        <v>47</v>
      </c>
      <c r="B17" s="48"/>
      <c r="C17" s="48"/>
      <c r="D17" s="48"/>
      <c r="E17" s="48"/>
      <c r="F17" s="48"/>
      <c r="G17" s="23">
        <f>SUMIF(F3:F1000,"Want",G3:G1000)</f>
        <v>0</v>
      </c>
    </row>
    <row r="18" spans="1:7" ht="15" customHeight="1" x14ac:dyDescent="0.3">
      <c r="A18" s="48" t="s">
        <v>48</v>
      </c>
      <c r="B18" s="48"/>
      <c r="C18" s="48"/>
      <c r="D18" s="48"/>
      <c r="E18" s="48"/>
      <c r="F18" s="48"/>
      <c r="G18" s="23">
        <f ca="1">IFERROR(MAX(G3:G1000),0)</f>
        <v>0</v>
      </c>
    </row>
    <row r="19" spans="1:7" ht="15" customHeight="1" x14ac:dyDescent="0.3">
      <c r="A19" s="48" t="s">
        <v>49</v>
      </c>
      <c r="B19" s="48"/>
      <c r="C19" s="48"/>
      <c r="D19" s="48"/>
      <c r="E19" s="48"/>
      <c r="F19" s="48"/>
      <c r="G19" s="23">
        <f>COUNTA(A3:A1000)</f>
        <v>6</v>
      </c>
    </row>
  </sheetData>
  <mergeCells count="7">
    <mergeCell ref="A18:F18"/>
    <mergeCell ref="A19:F19"/>
    <mergeCell ref="A1:G1"/>
    <mergeCell ref="A14:G14"/>
    <mergeCell ref="A15:F15"/>
    <mergeCell ref="A16:F16"/>
    <mergeCell ref="A17:F17"/>
  </mergeCells>
  <phoneticPr fontId="17" type="noConversion"/>
  <conditionalFormatting sqref="F4:F1000">
    <cfRule type="cellIs" dxfId="4" priority="2" operator="equal">
      <formula>"Want"</formula>
    </cfRule>
    <cfRule type="cellIs" dxfId="3" priority="3" operator="equal">
      <formula>"Need"</formula>
    </cfRule>
  </conditionalFormatting>
  <conditionalFormatting sqref="G4:G1000">
    <cfRule type="cellIs" dxfId="2" priority="4" operator="greaterThan">
      <formula>1000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Categories!$A$4:$A$13</xm:f>
          </x14:formula1>
          <x14:formula2>
            <xm:f>0</xm:f>
          </x14:formula2>
          <xm:sqref>C4:C1000</xm:sqref>
        </x14:dataValidation>
        <x14:dataValidation type="list" allowBlank="1" xr:uid="{00000000-0002-0000-0100-000001000000}">
          <x14:formula1>
            <xm:f>Categories!$B$4:$B$7</xm:f>
          </x14:formula1>
          <x14:formula2>
            <xm:f>0</xm:f>
          </x14:formula2>
          <xm:sqref>E4:E1000</xm:sqref>
        </x14:dataValidation>
        <x14:dataValidation type="list" allowBlank="1" xr:uid="{00000000-0002-0000-0100-000002000000}">
          <x14:formula1>
            <xm:f>Categories!$C$4:$C$5</xm:f>
          </x14:formula1>
          <x14:formula2>
            <xm:f>0</xm:f>
          </x14:formula2>
          <xm:sqref>F4:F1000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zoomScaleNormal="100" workbookViewId="0">
      <pane ySplit="2" topLeftCell="A3" activePane="bottomLeft" state="frozen"/>
      <selection pane="bottomLeft" activeCell="E3" sqref="E3"/>
    </sheetView>
  </sheetViews>
  <sheetFormatPr defaultColWidth="8.6640625" defaultRowHeight="14.4" x14ac:dyDescent="0.3"/>
  <cols>
    <col min="1" max="1" width="25" customWidth="1"/>
    <col min="2" max="3" width="20" customWidth="1"/>
    <col min="4" max="4" width="18" customWidth="1"/>
    <col min="5" max="6" width="14" customWidth="1"/>
  </cols>
  <sheetData>
    <row r="1" spans="1:6" ht="36" customHeight="1" x14ac:dyDescent="0.3">
      <c r="A1" s="46" t="s">
        <v>50</v>
      </c>
      <c r="B1" s="46"/>
      <c r="C1" s="46"/>
      <c r="D1" s="46"/>
      <c r="E1" s="46"/>
      <c r="F1" s="46"/>
    </row>
    <row r="2" spans="1:6" ht="15" customHeight="1" x14ac:dyDescent="0.3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</row>
    <row r="3" spans="1:6" ht="15" customHeight="1" x14ac:dyDescent="0.3">
      <c r="A3" s="24" t="s">
        <v>57</v>
      </c>
      <c r="B3" s="25"/>
      <c r="C3" s="25"/>
      <c r="D3" s="25"/>
      <c r="E3" s="26" t="s">
        <v>58</v>
      </c>
      <c r="F3" s="27">
        <f>IFERROR(C3/B3,0)</f>
        <v>0</v>
      </c>
    </row>
    <row r="4" spans="1:6" ht="15" customHeight="1" x14ac:dyDescent="0.3">
      <c r="A4" s="28" t="s">
        <v>59</v>
      </c>
      <c r="B4" s="29"/>
      <c r="C4" s="29"/>
      <c r="D4" s="29"/>
      <c r="E4" s="30" t="s">
        <v>58</v>
      </c>
      <c r="F4" s="31">
        <f>IFERROR(C4/B4,0)</f>
        <v>0</v>
      </c>
    </row>
    <row r="5" spans="1:6" ht="15" customHeight="1" x14ac:dyDescent="0.3">
      <c r="A5" s="24" t="s">
        <v>60</v>
      </c>
      <c r="B5" s="25"/>
      <c r="C5" s="25"/>
      <c r="D5" s="25"/>
      <c r="E5" s="26" t="s">
        <v>58</v>
      </c>
      <c r="F5" s="27">
        <f>IFERROR(C5/B5,0)</f>
        <v>0</v>
      </c>
    </row>
    <row r="6" spans="1:6" ht="15" customHeight="1" x14ac:dyDescent="0.3">
      <c r="A6" s="28" t="s">
        <v>61</v>
      </c>
      <c r="B6" s="29"/>
      <c r="C6" s="29"/>
      <c r="D6" s="29"/>
      <c r="E6" s="30" t="s">
        <v>58</v>
      </c>
      <c r="F6" s="31">
        <f>IFERROR(C6/B6,0)</f>
        <v>0</v>
      </c>
    </row>
    <row r="7" spans="1:6" ht="15" customHeight="1" x14ac:dyDescent="0.3">
      <c r="A7" s="24" t="s">
        <v>62</v>
      </c>
      <c r="B7" s="25"/>
      <c r="C7" s="25"/>
      <c r="D7" s="25"/>
      <c r="E7" s="26" t="s">
        <v>58</v>
      </c>
      <c r="F7" s="27">
        <f>IFERROR(C7/B7,0)</f>
        <v>0</v>
      </c>
    </row>
  </sheetData>
  <mergeCells count="1">
    <mergeCell ref="A1:F1"/>
  </mergeCells>
  <conditionalFormatting sqref="F3:F1000">
    <cfRule type="dataBar" priority="2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{A08EEB79-119F-4E5E-B06E-C2B29CFA9A1F}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8EEB79-119F-4E5E-B06E-C2B29CFA9A1F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F3:F1000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zoomScaleNormal="100" workbookViewId="0">
      <pane ySplit="2" topLeftCell="A3" activePane="bottomLeft" state="frozen"/>
      <selection pane="bottomLeft" activeCell="F7" sqref="F7"/>
    </sheetView>
  </sheetViews>
  <sheetFormatPr defaultColWidth="8.6640625" defaultRowHeight="14.4" x14ac:dyDescent="0.3"/>
  <cols>
    <col min="1" max="1" width="22" customWidth="1"/>
    <col min="2" max="2" width="16" customWidth="1"/>
    <col min="3" max="3" width="8" customWidth="1"/>
    <col min="4" max="4" width="15" customWidth="1"/>
    <col min="5" max="5" width="17" customWidth="1"/>
    <col min="6" max="6" width="18" customWidth="1"/>
    <col min="7" max="7" width="17" customWidth="1"/>
    <col min="8" max="8" width="16" customWidth="1"/>
    <col min="9" max="9" width="10" customWidth="1"/>
  </cols>
  <sheetData>
    <row r="1" spans="1:9" ht="36" customHeight="1" x14ac:dyDescent="0.3">
      <c r="A1" s="46" t="s">
        <v>63</v>
      </c>
      <c r="B1" s="46"/>
      <c r="C1" s="46"/>
      <c r="D1" s="46"/>
      <c r="E1" s="46"/>
      <c r="F1" s="46"/>
      <c r="G1" s="46"/>
      <c r="H1" s="46"/>
      <c r="I1" s="46"/>
    </row>
    <row r="2" spans="1:9" ht="36" customHeight="1" x14ac:dyDescent="0.3">
      <c r="A2" s="32" t="s">
        <v>64</v>
      </c>
      <c r="B2" s="32" t="s">
        <v>65</v>
      </c>
      <c r="C2" s="32" t="s">
        <v>66</v>
      </c>
      <c r="D2" s="32" t="s">
        <v>67</v>
      </c>
      <c r="E2" s="32" t="s">
        <v>68</v>
      </c>
      <c r="F2" s="32" t="s">
        <v>69</v>
      </c>
      <c r="G2" s="32" t="s">
        <v>70</v>
      </c>
      <c r="H2" s="32" t="s">
        <v>71</v>
      </c>
      <c r="I2" s="32" t="s">
        <v>72</v>
      </c>
    </row>
    <row r="3" spans="1:9" ht="15" customHeight="1" x14ac:dyDescent="0.3">
      <c r="A3" s="24"/>
      <c r="B3" s="26"/>
      <c r="C3" s="26"/>
      <c r="D3" s="25"/>
      <c r="E3" s="25"/>
      <c r="F3" s="25"/>
      <c r="G3" s="25">
        <f>C3*E3</f>
        <v>0</v>
      </c>
      <c r="H3" s="25">
        <f>G3-F3</f>
        <v>0</v>
      </c>
      <c r="I3" s="27">
        <f t="shared" ref="I3:I8" si="0">IFERROR(H3/F3,0)</f>
        <v>0</v>
      </c>
    </row>
    <row r="4" spans="1:9" ht="15" customHeight="1" x14ac:dyDescent="0.3">
      <c r="A4" s="28"/>
      <c r="B4" s="30"/>
      <c r="C4" s="30"/>
      <c r="D4" s="29"/>
      <c r="E4" s="29"/>
      <c r="F4" s="29"/>
      <c r="G4" s="29">
        <f>C4*E4</f>
        <v>0</v>
      </c>
      <c r="H4" s="29">
        <f>G4-F4</f>
        <v>0</v>
      </c>
      <c r="I4" s="31">
        <f t="shared" si="0"/>
        <v>0</v>
      </c>
    </row>
    <row r="5" spans="1:9" ht="15" customHeight="1" x14ac:dyDescent="0.3">
      <c r="A5" s="24"/>
      <c r="B5" s="26"/>
      <c r="C5" s="26"/>
      <c r="D5" s="25"/>
      <c r="E5" s="25"/>
      <c r="F5" s="25"/>
      <c r="G5" s="25">
        <f>C5*E5</f>
        <v>0</v>
      </c>
      <c r="H5" s="25">
        <f>G5-F5</f>
        <v>0</v>
      </c>
      <c r="I5" s="27">
        <f t="shared" si="0"/>
        <v>0</v>
      </c>
    </row>
    <row r="6" spans="1:9" ht="15" customHeight="1" x14ac:dyDescent="0.3">
      <c r="A6" s="28"/>
      <c r="B6" s="30"/>
      <c r="C6" s="30"/>
      <c r="D6" s="29"/>
      <c r="E6" s="29"/>
      <c r="F6" s="29"/>
      <c r="G6" s="29">
        <f>C6*E6</f>
        <v>0</v>
      </c>
      <c r="H6" s="29">
        <f>G6-F6</f>
        <v>0</v>
      </c>
      <c r="I6" s="31">
        <f t="shared" si="0"/>
        <v>0</v>
      </c>
    </row>
    <row r="7" spans="1:9" ht="15" customHeight="1" x14ac:dyDescent="0.3">
      <c r="A7" s="24"/>
      <c r="B7" s="26"/>
      <c r="C7" s="26"/>
      <c r="D7" s="25"/>
      <c r="E7" s="25"/>
      <c r="F7" s="25"/>
      <c r="G7" s="25">
        <f>C7*E7</f>
        <v>0</v>
      </c>
      <c r="H7" s="25">
        <f>G7-F7</f>
        <v>0</v>
      </c>
      <c r="I7" s="27">
        <f t="shared" si="0"/>
        <v>0</v>
      </c>
    </row>
    <row r="8" spans="1:9" ht="15" customHeight="1" x14ac:dyDescent="0.3">
      <c r="A8" s="33" t="s">
        <v>73</v>
      </c>
      <c r="B8" s="33"/>
      <c r="C8" s="33"/>
      <c r="D8" s="33"/>
      <c r="E8" s="33"/>
      <c r="F8" s="34">
        <f>SUM(F3:F7)</f>
        <v>0</v>
      </c>
      <c r="G8" s="34">
        <f>SUM(G3:G7)</f>
        <v>0</v>
      </c>
      <c r="H8" s="34">
        <f>SUM(H3:H7)</f>
        <v>0</v>
      </c>
      <c r="I8" s="35">
        <f t="shared" si="0"/>
        <v>0</v>
      </c>
    </row>
  </sheetData>
  <mergeCells count="1">
    <mergeCell ref="A1:I1"/>
  </mergeCells>
  <conditionalFormatting sqref="H3:H100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zoomScaleNormal="100" workbookViewId="0">
      <pane ySplit="2" topLeftCell="A3" activePane="bottomLeft" state="frozen"/>
      <selection pane="bottomLeft" activeCell="E8" sqref="E8"/>
    </sheetView>
  </sheetViews>
  <sheetFormatPr defaultColWidth="8.6640625" defaultRowHeight="14.4" x14ac:dyDescent="0.3"/>
  <cols>
    <col min="1" max="1" width="14" customWidth="1"/>
    <col min="2" max="3" width="16" customWidth="1"/>
    <col min="4" max="4" width="14" customWidth="1"/>
    <col min="5" max="5" width="16" customWidth="1"/>
    <col min="6" max="6" width="14" customWidth="1"/>
  </cols>
  <sheetData>
    <row r="1" spans="1:6" ht="36" customHeight="1" x14ac:dyDescent="0.3">
      <c r="A1" s="46" t="s">
        <v>74</v>
      </c>
      <c r="B1" s="46"/>
      <c r="C1" s="46"/>
      <c r="D1" s="46"/>
      <c r="E1" s="46"/>
      <c r="F1" s="46"/>
    </row>
    <row r="2" spans="1:6" ht="15" customHeight="1" x14ac:dyDescent="0.3">
      <c r="A2" s="18" t="s">
        <v>30</v>
      </c>
      <c r="B2" s="18" t="s">
        <v>75</v>
      </c>
      <c r="C2" s="18" t="s">
        <v>76</v>
      </c>
      <c r="D2" s="18" t="s">
        <v>77</v>
      </c>
      <c r="E2" s="18" t="s">
        <v>78</v>
      </c>
      <c r="F2" s="18" t="s">
        <v>79</v>
      </c>
    </row>
    <row r="3" spans="1:6" ht="15" customHeight="1" x14ac:dyDescent="0.3">
      <c r="A3" s="24" t="s">
        <v>36</v>
      </c>
      <c r="B3" s="25"/>
      <c r="C3" s="25"/>
      <c r="D3" s="25">
        <f t="shared" ref="D3:D8" si="0">B3-C3</f>
        <v>0</v>
      </c>
      <c r="E3" s="25"/>
      <c r="F3" s="27">
        <f t="shared" ref="F3:F8" si="1">IFERROR(D3/B3,0)</f>
        <v>0</v>
      </c>
    </row>
    <row r="4" spans="1:6" ht="15" customHeight="1" x14ac:dyDescent="0.3">
      <c r="A4" s="28" t="s">
        <v>42</v>
      </c>
      <c r="B4" s="29"/>
      <c r="C4" s="29"/>
      <c r="D4" s="29">
        <f t="shared" si="0"/>
        <v>0</v>
      </c>
      <c r="E4" s="29"/>
      <c r="F4" s="31">
        <f t="shared" si="1"/>
        <v>0</v>
      </c>
    </row>
    <row r="5" spans="1:6" ht="15" customHeight="1" x14ac:dyDescent="0.3">
      <c r="A5" s="24" t="s">
        <v>80</v>
      </c>
      <c r="B5" s="25"/>
      <c r="C5" s="25"/>
      <c r="D5" s="25">
        <f t="shared" si="0"/>
        <v>0</v>
      </c>
      <c r="E5" s="25"/>
      <c r="F5" s="27">
        <f t="shared" si="1"/>
        <v>0</v>
      </c>
    </row>
    <row r="6" spans="1:6" ht="15" customHeight="1" x14ac:dyDescent="0.3">
      <c r="A6" s="28" t="s">
        <v>81</v>
      </c>
      <c r="B6" s="29"/>
      <c r="C6" s="29"/>
      <c r="D6" s="29">
        <f t="shared" si="0"/>
        <v>0</v>
      </c>
      <c r="E6" s="29"/>
      <c r="F6" s="31">
        <f t="shared" si="1"/>
        <v>0</v>
      </c>
    </row>
    <row r="7" spans="1:6" ht="15" customHeight="1" x14ac:dyDescent="0.3">
      <c r="A7" s="24" t="s">
        <v>82</v>
      </c>
      <c r="B7" s="25"/>
      <c r="C7" s="25"/>
      <c r="D7" s="25">
        <f t="shared" si="0"/>
        <v>0</v>
      </c>
      <c r="E7" s="25"/>
      <c r="F7" s="27">
        <f t="shared" si="1"/>
        <v>0</v>
      </c>
    </row>
    <row r="8" spans="1:6" ht="15" customHeight="1" x14ac:dyDescent="0.3">
      <c r="A8" s="28" t="s">
        <v>83</v>
      </c>
      <c r="B8" s="29"/>
      <c r="C8" s="29"/>
      <c r="D8" s="29">
        <f t="shared" si="0"/>
        <v>0</v>
      </c>
      <c r="E8" s="29"/>
      <c r="F8" s="31">
        <f t="shared" si="1"/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showGridLines="0" zoomScaleNormal="100" workbookViewId="0">
      <selection activeCell="B15" sqref="B15"/>
    </sheetView>
  </sheetViews>
  <sheetFormatPr defaultColWidth="8.6640625" defaultRowHeight="14.4" x14ac:dyDescent="0.3"/>
  <cols>
    <col min="1" max="1" width="28" customWidth="1"/>
    <col min="2" max="2" width="20" customWidth="1"/>
    <col min="3" max="3" width="4" customWidth="1"/>
  </cols>
  <sheetData>
    <row r="1" spans="1:3" ht="36" customHeight="1" x14ac:dyDescent="0.3">
      <c r="A1" s="46" t="s">
        <v>84</v>
      </c>
      <c r="B1" s="46"/>
      <c r="C1" s="46"/>
    </row>
    <row r="3" spans="1:3" ht="15" customHeight="1" x14ac:dyDescent="0.3">
      <c r="A3" s="18" t="s">
        <v>85</v>
      </c>
      <c r="B3" s="18" t="s">
        <v>86</v>
      </c>
    </row>
    <row r="4" spans="1:3" ht="15" customHeight="1" x14ac:dyDescent="0.3">
      <c r="A4" s="17" t="s">
        <v>87</v>
      </c>
      <c r="B4" s="29"/>
    </row>
    <row r="5" spans="1:3" ht="15" customHeight="1" x14ac:dyDescent="0.3">
      <c r="A5" s="16" t="s">
        <v>88</v>
      </c>
      <c r="B5" s="25"/>
    </row>
    <row r="6" spans="1:3" ht="15" customHeight="1" x14ac:dyDescent="0.3">
      <c r="A6" s="17" t="s">
        <v>89</v>
      </c>
      <c r="B6" s="29">
        <v>0</v>
      </c>
    </row>
    <row r="7" spans="1:3" ht="15" customHeight="1" x14ac:dyDescent="0.3">
      <c r="A7" s="16" t="s">
        <v>90</v>
      </c>
      <c r="B7" s="25"/>
    </row>
    <row r="8" spans="1:3" ht="15" customHeight="1" x14ac:dyDescent="0.3">
      <c r="A8" s="17" t="s">
        <v>91</v>
      </c>
      <c r="B8" s="29"/>
    </row>
    <row r="9" spans="1:3" ht="15" customHeight="1" x14ac:dyDescent="0.3">
      <c r="A9" s="17" t="s">
        <v>92</v>
      </c>
      <c r="B9" s="29">
        <f>IFERROR(Investments!G8,0)</f>
        <v>0</v>
      </c>
    </row>
    <row r="10" spans="1:3" ht="15" customHeight="1" x14ac:dyDescent="0.3">
      <c r="A10" s="36" t="s">
        <v>93</v>
      </c>
      <c r="B10" s="37">
        <f>SUM(B4:B9)</f>
        <v>0</v>
      </c>
    </row>
    <row r="12" spans="1:3" ht="15" customHeight="1" x14ac:dyDescent="0.3">
      <c r="A12" s="18" t="s">
        <v>94</v>
      </c>
      <c r="B12" s="18" t="s">
        <v>86</v>
      </c>
    </row>
    <row r="13" spans="1:3" ht="15" customHeight="1" x14ac:dyDescent="0.3">
      <c r="A13" s="16" t="s">
        <v>95</v>
      </c>
      <c r="B13" s="25">
        <v>0</v>
      </c>
    </row>
    <row r="14" spans="1:3" ht="15" customHeight="1" x14ac:dyDescent="0.3">
      <c r="A14" s="17" t="s">
        <v>96</v>
      </c>
      <c r="B14" s="29">
        <v>0</v>
      </c>
    </row>
    <row r="15" spans="1:3" ht="15" customHeight="1" x14ac:dyDescent="0.3">
      <c r="A15" s="16" t="s">
        <v>97</v>
      </c>
      <c r="B15" s="25">
        <v>0</v>
      </c>
    </row>
    <row r="16" spans="1:3" ht="15" customHeight="1" x14ac:dyDescent="0.3">
      <c r="A16" s="17" t="s">
        <v>98</v>
      </c>
      <c r="B16" s="29">
        <v>0</v>
      </c>
    </row>
    <row r="17" spans="1:2" ht="15" customHeight="1" x14ac:dyDescent="0.3">
      <c r="A17" s="16" t="s">
        <v>99</v>
      </c>
      <c r="B17" s="25">
        <v>0</v>
      </c>
    </row>
    <row r="18" spans="1:2" ht="15" customHeight="1" x14ac:dyDescent="0.3">
      <c r="A18" s="38" t="s">
        <v>100</v>
      </c>
      <c r="B18" s="39">
        <f>SUM(B13:B17)</f>
        <v>0</v>
      </c>
    </row>
    <row r="20" spans="1:2" ht="30" customHeight="1" x14ac:dyDescent="0.3">
      <c r="A20" s="47" t="s">
        <v>101</v>
      </c>
      <c r="B20" s="47"/>
    </row>
    <row r="21" spans="1:2" ht="39.75" customHeight="1" x14ac:dyDescent="0.3">
      <c r="A21" s="49">
        <f>B10-B18</f>
        <v>0</v>
      </c>
      <c r="B21" s="49"/>
    </row>
  </sheetData>
  <mergeCells count="3">
    <mergeCell ref="A1:C1"/>
    <mergeCell ref="A20:B20"/>
    <mergeCell ref="A21:B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showGridLines="0" zoomScaleNormal="100" workbookViewId="0">
      <selection activeCell="B7" sqref="B7"/>
    </sheetView>
  </sheetViews>
  <sheetFormatPr defaultColWidth="8.6640625" defaultRowHeight="14.4" x14ac:dyDescent="0.3"/>
  <cols>
    <col min="1" max="1" width="24" customWidth="1"/>
    <col min="2" max="3" width="20" customWidth="1"/>
    <col min="4" max="4" width="14" customWidth="1"/>
    <col min="5" max="5" width="22" customWidth="1"/>
  </cols>
  <sheetData>
    <row r="1" spans="1:5" ht="36" customHeight="1" x14ac:dyDescent="0.3">
      <c r="A1" s="46" t="s">
        <v>102</v>
      </c>
      <c r="B1" s="46"/>
      <c r="C1" s="46"/>
      <c r="D1" s="46"/>
      <c r="E1" s="46"/>
    </row>
    <row r="2" spans="1:5" ht="36" customHeight="1" x14ac:dyDescent="0.3">
      <c r="A2" s="40" t="s">
        <v>103</v>
      </c>
      <c r="B2" s="40" t="s">
        <v>52</v>
      </c>
      <c r="C2" s="40" t="s">
        <v>104</v>
      </c>
      <c r="D2" s="40" t="s">
        <v>55</v>
      </c>
      <c r="E2" s="40" t="s">
        <v>105</v>
      </c>
    </row>
    <row r="3" spans="1:5" ht="15" customHeight="1" x14ac:dyDescent="0.3">
      <c r="A3" s="24" t="s">
        <v>59</v>
      </c>
      <c r="B3" s="25"/>
      <c r="C3" s="25"/>
      <c r="D3" s="26" t="s">
        <v>58</v>
      </c>
      <c r="E3" s="25">
        <f>IFERROR((B3-C3)/12,0)</f>
        <v>0</v>
      </c>
    </row>
    <row r="4" spans="1:5" ht="15" customHeight="1" x14ac:dyDescent="0.3">
      <c r="A4" s="28" t="s">
        <v>57</v>
      </c>
      <c r="B4" s="29"/>
      <c r="C4" s="29"/>
      <c r="D4" s="30" t="s">
        <v>106</v>
      </c>
      <c r="E4" s="29">
        <f>IFERROR((B4-C4)/12,0)</f>
        <v>0</v>
      </c>
    </row>
    <row r="5" spans="1:5" ht="15" customHeight="1" x14ac:dyDescent="0.3">
      <c r="A5" s="24" t="s">
        <v>61</v>
      </c>
      <c r="B5" s="25"/>
      <c r="C5" s="25"/>
      <c r="D5" s="26" t="s">
        <v>107</v>
      </c>
      <c r="E5" s="25">
        <f>IFERROR((B5-C5)/12,0)</f>
        <v>0</v>
      </c>
    </row>
    <row r="6" spans="1:5" ht="15" customHeight="1" x14ac:dyDescent="0.3">
      <c r="A6" s="28" t="s">
        <v>108</v>
      </c>
      <c r="B6" s="29"/>
      <c r="C6" s="29"/>
      <c r="D6" s="30" t="s">
        <v>109</v>
      </c>
      <c r="E6" s="29">
        <f>IFERROR((B6-C6)/12,0)</f>
        <v>0</v>
      </c>
    </row>
    <row r="7" spans="1:5" ht="15" customHeight="1" x14ac:dyDescent="0.3">
      <c r="A7" s="24" t="s">
        <v>62</v>
      </c>
      <c r="B7" s="25"/>
      <c r="C7" s="25"/>
      <c r="D7" s="26" t="s">
        <v>110</v>
      </c>
      <c r="E7" s="25">
        <f>IFERROR((B7-C7)/12,0)</f>
        <v>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showGridLines="0" zoomScaleNormal="100" workbookViewId="0">
      <selection activeCell="B6" sqref="B6:C6"/>
    </sheetView>
  </sheetViews>
  <sheetFormatPr defaultColWidth="8.6640625" defaultRowHeight="14.4" x14ac:dyDescent="0.3"/>
  <cols>
    <col min="1" max="1" width="35" customWidth="1"/>
    <col min="2" max="2" width="22" customWidth="1"/>
    <col min="3" max="3" width="5" customWidth="1"/>
  </cols>
  <sheetData>
    <row r="1" spans="1:3" ht="36" customHeight="1" x14ac:dyDescent="0.3">
      <c r="A1" s="46" t="s">
        <v>111</v>
      </c>
      <c r="B1" s="46"/>
      <c r="C1" s="46"/>
    </row>
    <row r="3" spans="1:3" ht="15" customHeight="1" x14ac:dyDescent="0.3">
      <c r="A3" s="18" t="s">
        <v>112</v>
      </c>
      <c r="B3" s="50" t="s">
        <v>113</v>
      </c>
      <c r="C3" s="50"/>
    </row>
    <row r="4" spans="1:3" ht="15" customHeight="1" x14ac:dyDescent="0.3">
      <c r="A4" s="17" t="s">
        <v>114</v>
      </c>
      <c r="B4" s="51"/>
      <c r="C4" s="51"/>
    </row>
    <row r="5" spans="1:3" ht="15" customHeight="1" x14ac:dyDescent="0.3">
      <c r="A5" s="17" t="s">
        <v>115</v>
      </c>
      <c r="B5" s="52"/>
      <c r="C5" s="52"/>
    </row>
    <row r="6" spans="1:3" ht="15" customHeight="1" x14ac:dyDescent="0.3">
      <c r="A6" s="17" t="s">
        <v>116</v>
      </c>
      <c r="B6" s="51"/>
      <c r="C6" s="51"/>
    </row>
    <row r="8" spans="1:3" ht="15" customHeight="1" x14ac:dyDescent="0.3">
      <c r="A8" s="18" t="s">
        <v>117</v>
      </c>
      <c r="B8" s="50" t="s">
        <v>118</v>
      </c>
      <c r="C8" s="50"/>
    </row>
    <row r="9" spans="1:3" ht="15" customHeight="1" x14ac:dyDescent="0.3">
      <c r="A9" s="17" t="s">
        <v>119</v>
      </c>
      <c r="B9" s="53">
        <f>B4*B6*12</f>
        <v>0</v>
      </c>
      <c r="C9" s="53"/>
    </row>
    <row r="10" spans="1:3" ht="15" customHeight="1" x14ac:dyDescent="0.3">
      <c r="A10" s="17" t="s">
        <v>120</v>
      </c>
      <c r="B10" s="53">
        <f>IFERROR(FV(B5/100/12,B6*12,-B4),0)</f>
        <v>0</v>
      </c>
      <c r="C10" s="53"/>
    </row>
    <row r="11" spans="1:3" ht="15" customHeight="1" x14ac:dyDescent="0.3">
      <c r="A11" s="17" t="s">
        <v>121</v>
      </c>
      <c r="B11" s="53">
        <f>IFERROR(B10-B9,0)</f>
        <v>0</v>
      </c>
      <c r="C11" s="53"/>
    </row>
    <row r="12" spans="1:3" ht="15" customHeight="1" x14ac:dyDescent="0.3">
      <c r="A12" s="17" t="s">
        <v>122</v>
      </c>
      <c r="B12" s="54">
        <f>IFERROR(B10/B9,0)</f>
        <v>0</v>
      </c>
      <c r="C12" s="54"/>
    </row>
  </sheetData>
  <mergeCells count="10">
    <mergeCell ref="B8:C8"/>
    <mergeCell ref="B9:C9"/>
    <mergeCell ref="B10:C10"/>
    <mergeCell ref="B11:C11"/>
    <mergeCell ref="B12:C12"/>
    <mergeCell ref="A1:C1"/>
    <mergeCell ref="B3:C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showGridLines="0" zoomScaleNormal="100" workbookViewId="0">
      <selection activeCell="D3" sqref="D3"/>
    </sheetView>
  </sheetViews>
  <sheetFormatPr defaultColWidth="8.6640625" defaultRowHeight="14.4" x14ac:dyDescent="0.3"/>
  <cols>
    <col min="1" max="1" width="22" customWidth="1"/>
    <col min="2" max="2" width="16" customWidth="1"/>
    <col min="3" max="4" width="20" customWidth="1"/>
    <col min="5" max="5" width="16" customWidth="1"/>
  </cols>
  <sheetData>
    <row r="1" spans="1:5" ht="36" customHeight="1" x14ac:dyDescent="0.3">
      <c r="A1" s="46" t="s">
        <v>123</v>
      </c>
      <c r="B1" s="46"/>
      <c r="C1" s="46"/>
      <c r="D1" s="46"/>
      <c r="E1" s="46"/>
    </row>
    <row r="2" spans="1:5" ht="39.75" customHeight="1" x14ac:dyDescent="0.3">
      <c r="A2" s="40" t="s">
        <v>124</v>
      </c>
      <c r="B2" s="40" t="s">
        <v>125</v>
      </c>
      <c r="C2" s="40" t="s">
        <v>126</v>
      </c>
      <c r="D2" s="40" t="s">
        <v>127</v>
      </c>
      <c r="E2" s="40" t="s">
        <v>54</v>
      </c>
    </row>
    <row r="3" spans="1:5" ht="36" customHeight="1" x14ac:dyDescent="0.3">
      <c r="A3" s="42"/>
      <c r="B3" s="41"/>
      <c r="C3" s="43">
        <f>A3*B3</f>
        <v>0</v>
      </c>
      <c r="D3" s="42"/>
      <c r="E3" s="43">
        <f>IFERROR(C3-D3,0)</f>
        <v>0</v>
      </c>
    </row>
    <row r="5" spans="1:5" ht="15" customHeight="1" x14ac:dyDescent="0.3">
      <c r="A5" s="8" t="s">
        <v>128</v>
      </c>
      <c r="B5" s="8"/>
      <c r="C5" s="8"/>
      <c r="D5" s="8"/>
      <c r="E5" s="8"/>
    </row>
    <row r="6" spans="1:5" ht="15" customHeight="1" x14ac:dyDescent="0.3">
      <c r="A6" s="1" t="s">
        <v>129</v>
      </c>
      <c r="B6" s="1"/>
      <c r="C6" s="1"/>
      <c r="D6" s="1"/>
      <c r="E6" s="1"/>
    </row>
    <row r="7" spans="1:5" ht="15" customHeight="1" x14ac:dyDescent="0.3">
      <c r="A7" s="4" t="s">
        <v>130</v>
      </c>
      <c r="B7" s="4"/>
      <c r="C7" s="4"/>
      <c r="D7" s="4"/>
      <c r="E7" s="4"/>
    </row>
    <row r="8" spans="1:5" ht="15" customHeight="1" x14ac:dyDescent="0.3">
      <c r="A8" s="1" t="s">
        <v>131</v>
      </c>
      <c r="B8" s="1"/>
      <c r="C8" s="1"/>
      <c r="D8" s="1"/>
      <c r="E8" s="1"/>
    </row>
    <row r="9" spans="1:5" ht="15" customHeight="1" x14ac:dyDescent="0.3">
      <c r="A9" s="4" t="s">
        <v>132</v>
      </c>
      <c r="B9" s="4"/>
      <c r="C9" s="4"/>
      <c r="D9" s="4"/>
      <c r="E9" s="4"/>
    </row>
    <row r="10" spans="1:5" ht="15" customHeight="1" x14ac:dyDescent="0.3">
      <c r="A10" s="1" t="s">
        <v>133</v>
      </c>
      <c r="B10" s="1"/>
      <c r="C10" s="1"/>
      <c r="D10" s="1"/>
      <c r="E10" s="1"/>
    </row>
  </sheetData>
  <mergeCells count="7">
    <mergeCell ref="A9:E9"/>
    <mergeCell ref="A10:E10"/>
    <mergeCell ref="A1:E1"/>
    <mergeCell ref="A5:E5"/>
    <mergeCell ref="A6:E6"/>
    <mergeCell ref="A7:E7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22" customWidth="1"/>
    <col min="2" max="2" width="20" customWidth="1"/>
    <col min="3" max="3" width="16" customWidth="1"/>
  </cols>
  <sheetData>
    <row r="1" spans="1:3" ht="30" customHeight="1" x14ac:dyDescent="0.3">
      <c r="A1" s="55" t="s">
        <v>134</v>
      </c>
      <c r="B1" s="55"/>
      <c r="C1" s="55"/>
    </row>
    <row r="3" spans="1:3" ht="15" customHeight="1" x14ac:dyDescent="0.3">
      <c r="A3" s="18" t="s">
        <v>10</v>
      </c>
      <c r="B3" s="18" t="s">
        <v>135</v>
      </c>
      <c r="C3" s="18" t="s">
        <v>136</v>
      </c>
    </row>
    <row r="4" spans="1:3" ht="15" customHeight="1" x14ac:dyDescent="0.3">
      <c r="A4" s="30" t="s">
        <v>12</v>
      </c>
      <c r="B4" s="30" t="s">
        <v>43</v>
      </c>
      <c r="C4" s="30" t="s">
        <v>38</v>
      </c>
    </row>
    <row r="5" spans="1:3" ht="15" customHeight="1" x14ac:dyDescent="0.3">
      <c r="A5" s="26" t="s">
        <v>14</v>
      </c>
      <c r="B5" s="26" t="s">
        <v>37</v>
      </c>
      <c r="C5" s="26" t="s">
        <v>39</v>
      </c>
    </row>
    <row r="6" spans="1:3" ht="15" customHeight="1" x14ac:dyDescent="0.3">
      <c r="A6" s="30" t="s">
        <v>16</v>
      </c>
      <c r="B6" s="30" t="s">
        <v>41</v>
      </c>
    </row>
    <row r="7" spans="1:3" ht="15" customHeight="1" x14ac:dyDescent="0.3">
      <c r="A7" s="26" t="s">
        <v>18</v>
      </c>
      <c r="B7" s="26" t="s">
        <v>40</v>
      </c>
    </row>
    <row r="8" spans="1:3" ht="15" customHeight="1" x14ac:dyDescent="0.3">
      <c r="A8" s="30" t="s">
        <v>20</v>
      </c>
    </row>
    <row r="9" spans="1:3" ht="15" customHeight="1" x14ac:dyDescent="0.3">
      <c r="A9" s="26" t="s">
        <v>22</v>
      </c>
    </row>
    <row r="10" spans="1:3" ht="15" customHeight="1" x14ac:dyDescent="0.3">
      <c r="A10" s="30" t="s">
        <v>24</v>
      </c>
    </row>
    <row r="11" spans="1:3" ht="15" customHeight="1" x14ac:dyDescent="0.3">
      <c r="A11" s="26" t="s">
        <v>25</v>
      </c>
    </row>
    <row r="12" spans="1:3" ht="15" customHeight="1" x14ac:dyDescent="0.3">
      <c r="A12" s="30" t="s">
        <v>137</v>
      </c>
    </row>
    <row r="13" spans="1:3" ht="15" customHeight="1" x14ac:dyDescent="0.3">
      <c r="A13" s="26" t="s">
        <v>26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Expenses</vt:lpstr>
      <vt:lpstr>Savings</vt:lpstr>
      <vt:lpstr>Investments</vt:lpstr>
      <vt:lpstr>Monthly Summary</vt:lpstr>
      <vt:lpstr>Net Worth</vt:lpstr>
      <vt:lpstr>Goals</vt:lpstr>
      <vt:lpstr>SIP Calculator</vt:lpstr>
      <vt:lpstr>Emergency Fund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Pavan M</cp:lastModifiedBy>
  <cp:revision>2</cp:revision>
  <dcterms:created xsi:type="dcterms:W3CDTF">2026-05-13T07:56:29Z</dcterms:created>
  <dcterms:modified xsi:type="dcterms:W3CDTF">2026-05-13T08:06:52Z</dcterms:modified>
  <dc:language>en-US</dc:language>
</cp:coreProperties>
</file>